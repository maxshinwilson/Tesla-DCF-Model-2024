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2b454cfdf7b702/Desktop/"/>
    </mc:Choice>
  </mc:AlternateContent>
  <xr:revisionPtr revIDLastSave="18" documentId="8_{981DCB7F-AC56-497C-94AD-FDFF41444A26}" xr6:coauthVersionLast="47" xr6:coauthVersionMax="47" xr10:uidLastSave="{D4B0673F-FF5B-415F-8BF3-B0EC71D67ACE}"/>
  <bookViews>
    <workbookView xWindow="-108" yWindow="-108" windowWidth="23256" windowHeight="13896" xr2:uid="{58E775AA-9C67-4B39-A89A-34FCEBEDD9E4}"/>
  </bookViews>
  <sheets>
    <sheet name="Tesla DCF Model" sheetId="1" r:id="rId1"/>
    <sheet name="Assumptions" sheetId="2" r:id="rId2"/>
    <sheet name="Historical_Financials" sheetId="3" r:id="rId3"/>
    <sheet name="Forecast" sheetId="4" r:id="rId4"/>
    <sheet name="Valuation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E8" i="5"/>
  <c r="B6" i="1" s="1"/>
  <c r="E7" i="5"/>
  <c r="B8" i="1" s="1"/>
  <c r="I6" i="4"/>
  <c r="I5" i="4"/>
  <c r="I4" i="4"/>
  <c r="I3" i="4"/>
  <c r="I2" i="4"/>
  <c r="H6" i="4"/>
  <c r="H5" i="4"/>
  <c r="H4" i="4"/>
  <c r="H3" i="4"/>
  <c r="H2" i="4"/>
  <c r="G6" i="4"/>
  <c r="G5" i="4"/>
  <c r="G4" i="4"/>
  <c r="G3" i="4"/>
  <c r="G2" i="4"/>
  <c r="E6" i="4"/>
  <c r="F6" i="4" s="1"/>
  <c r="E5" i="4"/>
  <c r="F5" i="4" s="1"/>
  <c r="E4" i="4"/>
  <c r="F4" i="4" s="1"/>
  <c r="E3" i="4"/>
  <c r="F3" i="4" s="1"/>
  <c r="E2" i="4"/>
  <c r="F2" i="4" s="1"/>
  <c r="A6" i="5"/>
  <c r="A5" i="5"/>
  <c r="A4" i="5"/>
  <c r="A3" i="5"/>
  <c r="A2" i="5"/>
  <c r="B3" i="4"/>
  <c r="J2" i="4" l="1"/>
  <c r="B2" i="5" s="1"/>
  <c r="J3" i="4"/>
  <c r="J4" i="4"/>
  <c r="B4" i="4"/>
  <c r="B5" i="4" l="1"/>
  <c r="B3" i="5" l="1"/>
  <c r="B6" i="4"/>
  <c r="B4" i="5" l="1"/>
  <c r="B7" i="4"/>
  <c r="J5" i="4" l="1"/>
  <c r="B5" i="5" s="1"/>
  <c r="J6" i="4" l="1"/>
  <c r="E2" i="5" s="1"/>
  <c r="E3" i="5" s="1"/>
  <c r="B6" i="5" l="1"/>
  <c r="E4" i="5" s="1"/>
  <c r="E5" i="5" l="1"/>
  <c r="B7" i="1" s="1"/>
  <c r="B5" i="1"/>
  <c r="E6" i="5" l="1"/>
  <c r="B9" i="1" s="1"/>
</calcChain>
</file>

<file path=xl/sharedStrings.xml><?xml version="1.0" encoding="utf-8"?>
<sst xmlns="http://schemas.openxmlformats.org/spreadsheetml/2006/main" count="78" uniqueCount="71">
  <si>
    <t>Revenue</t>
  </si>
  <si>
    <t>EBIT</t>
  </si>
  <si>
    <t>Total Debt</t>
  </si>
  <si>
    <t>Shares Outstanding</t>
  </si>
  <si>
    <t>EBIT (Operating Income)</t>
  </si>
  <si>
    <t>EBIT Margin</t>
  </si>
  <si>
    <t>Depreciation &amp; Amortization</t>
  </si>
  <si>
    <t>Capital Expenditures</t>
  </si>
  <si>
    <t>Free Cash Flow (reported)</t>
  </si>
  <si>
    <t>Cash &amp; Investments</t>
  </si>
  <si>
    <t>Year</t>
  </si>
  <si>
    <t>Slight normalization above 2024</t>
  </si>
  <si>
    <t>Tax Rate</t>
  </si>
  <si>
    <t>Normalized statutory</t>
  </si>
  <si>
    <t>Historical avg</t>
  </si>
  <si>
    <t>Slightly lower than 2024</t>
  </si>
  <si>
    <t>Conservative</t>
  </si>
  <si>
    <t>WACC</t>
  </si>
  <si>
    <t>Equity-heavy, volatile</t>
  </si>
  <si>
    <t>Terminal Growth</t>
  </si>
  <si>
    <t>≤ nominal GDP</t>
  </si>
  <si>
    <t>NOPAT</t>
  </si>
  <si>
    <t>ΔWC</t>
  </si>
  <si>
    <t>FCF</t>
  </si>
  <si>
    <t>DF</t>
  </si>
  <si>
    <t>PV of FCF</t>
  </si>
  <si>
    <t xml:space="preserve">Terminal Value: </t>
  </si>
  <si>
    <t>Present Value of TV:</t>
  </si>
  <si>
    <t>Enterprise Value:</t>
  </si>
  <si>
    <t>Equity Value:</t>
  </si>
  <si>
    <t>Intrinsic Value Per Share:</t>
  </si>
  <si>
    <t>Growth grows slowly (2024 &lt; 1%)</t>
  </si>
  <si>
    <t>Max Wilson</t>
  </si>
  <si>
    <t>Tesla DCF Model 2024</t>
  </si>
  <si>
    <t>Depreciation (% of revenue)</t>
  </si>
  <si>
    <t>CapEx (% of revenue)</t>
  </si>
  <si>
    <t>Δ Working Capital (% of revenue)</t>
  </si>
  <si>
    <t>Enterprise Value</t>
  </si>
  <si>
    <t>Net Cash</t>
  </si>
  <si>
    <t>Equity Value</t>
  </si>
  <si>
    <t>Intrinsic Value/Share</t>
  </si>
  <si>
    <t>Shares Outstanding:</t>
  </si>
  <si>
    <t>Cash &amp; Cash Equivalents</t>
  </si>
  <si>
    <t>NON-OPERATING ITEMS (2024)</t>
  </si>
  <si>
    <t>Short-Term Investments         7,469</t>
  </si>
  <si>
    <t>Total Cash &amp; Investments</t>
  </si>
  <si>
    <t>Valuation</t>
  </si>
  <si>
    <t>YEAR</t>
  </si>
  <si>
    <t>REVENUE</t>
  </si>
  <si>
    <t>CAPEX</t>
  </si>
  <si>
    <t>DEPRECIATION</t>
  </si>
  <si>
    <t>2024 ACTUAL</t>
  </si>
  <si>
    <t>ITEM</t>
  </si>
  <si>
    <t>WHY</t>
  </si>
  <si>
    <t>VALUE</t>
  </si>
  <si>
    <t>ASSUMPTIONS</t>
  </si>
  <si>
    <t>Net Cash:</t>
  </si>
  <si>
    <t>REVENUE ASSUMPTIONS</t>
  </si>
  <si>
    <t>OPERATING ASSUMPTIONS</t>
  </si>
  <si>
    <t>REINVESTMENT ASSUMPTIONS</t>
  </si>
  <si>
    <t>DISCOUNT RATE &amp; TERMINAL ASSUMPTIONS</t>
  </si>
  <si>
    <t>Source: Tesla 2024 10-K / Yahoo Finance</t>
  </si>
  <si>
    <t>Figures in USD millions</t>
  </si>
  <si>
    <t>KEY ASSUMPTIONS</t>
  </si>
  <si>
    <t>VALUATION SUMMARY</t>
  </si>
  <si>
    <t>Base Year (Actual)</t>
  </si>
  <si>
    <t>Revenue Growth 2025</t>
  </si>
  <si>
    <t>Revenue Growth 2026</t>
  </si>
  <si>
    <t>Revenue Growth 2027</t>
  </si>
  <si>
    <t>Revenue Growth 2028</t>
  </si>
  <si>
    <t>Revenue Growth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</si>
</sst>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3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0" fillId="0" borderId="0" xfId="0" applyBorder="1"/>
    <xf numFmtId="3" fontId="3" fillId="0" borderId="0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Border="1"/>
    <xf numFmtId="3" fontId="1" fillId="0" borderId="0" xfId="0" applyNumberFormat="1" applyFont="1" applyBorder="1"/>
    <xf numFmtId="0" fontId="0" fillId="0" borderId="1" xfId="0" applyBorder="1"/>
    <xf numFmtId="3" fontId="1" fillId="0" borderId="1" xfId="0" applyNumberFormat="1" applyFont="1" applyBorder="1"/>
    <xf numFmtId="0" fontId="0" fillId="0" borderId="2" xfId="0" applyBorder="1"/>
    <xf numFmtId="0" fontId="1" fillId="0" borderId="2" xfId="0" applyFont="1" applyBorder="1"/>
    <xf numFmtId="0" fontId="5" fillId="0" borderId="0" xfId="0" applyFont="1"/>
    <xf numFmtId="168" fontId="0" fillId="0" borderId="0" xfId="0" applyNumberFormat="1"/>
    <xf numFmtId="168" fontId="3" fillId="0" borderId="0" xfId="0" applyNumberFormat="1" applyFont="1"/>
    <xf numFmtId="0" fontId="6" fillId="0" borderId="0" xfId="0" applyFont="1"/>
    <xf numFmtId="10" fontId="6" fillId="0" borderId="0" xfId="0" applyNumberFormat="1" applyFont="1"/>
    <xf numFmtId="0" fontId="4" fillId="0" borderId="0" xfId="0" applyFont="1" applyBorder="1"/>
    <xf numFmtId="0" fontId="4" fillId="0" borderId="1" xfId="0" applyFont="1" applyBorder="1"/>
    <xf numFmtId="3" fontId="4" fillId="0" borderId="1" xfId="0" applyNumberFormat="1" applyFont="1" applyBorder="1"/>
    <xf numFmtId="3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9313-923F-42F8-B1D2-89298B101228}">
  <dimension ref="A1:E20"/>
  <sheetViews>
    <sheetView showGridLines="0" tabSelected="1" zoomScale="80" zoomScaleNormal="85" workbookViewId="0">
      <selection activeCell="I9" sqref="I9"/>
    </sheetView>
  </sheetViews>
  <sheetFormatPr defaultRowHeight="14.4" x14ac:dyDescent="0.3"/>
  <cols>
    <col min="1" max="1" width="34.44140625" customWidth="1"/>
    <col min="2" max="2" width="15.21875" bestFit="1" customWidth="1"/>
    <col min="3" max="3" width="34.33203125" customWidth="1"/>
    <col min="4" max="4" width="15.109375" customWidth="1"/>
    <col min="8" max="8" width="12.6640625" customWidth="1"/>
    <col min="9" max="9" width="11.88671875" customWidth="1"/>
    <col min="11" max="11" width="15.44140625" customWidth="1"/>
  </cols>
  <sheetData>
    <row r="1" spans="1:5" ht="91.2" customHeight="1" x14ac:dyDescent="1.65">
      <c r="A1" s="5" t="s">
        <v>33</v>
      </c>
    </row>
    <row r="2" spans="1:5" ht="96" customHeight="1" x14ac:dyDescent="1.65">
      <c r="A2" s="5" t="s">
        <v>32</v>
      </c>
    </row>
    <row r="4" spans="1:5" ht="25.8" x14ac:dyDescent="0.5">
      <c r="A4" s="21" t="s">
        <v>64</v>
      </c>
      <c r="B4" s="10"/>
      <c r="C4" s="21" t="s">
        <v>63</v>
      </c>
      <c r="D4" s="10"/>
      <c r="E4" s="10"/>
    </row>
    <row r="5" spans="1:5" ht="25.8" x14ac:dyDescent="0.5">
      <c r="A5" s="10" t="s">
        <v>37</v>
      </c>
      <c r="B5" s="10">
        <f>Valuation!E4</f>
        <v>10040.253615283389</v>
      </c>
      <c r="C5" s="10" t="s">
        <v>65</v>
      </c>
      <c r="D5" s="24">
        <v>2024</v>
      </c>
      <c r="E5" s="10"/>
    </row>
    <row r="6" spans="1:5" ht="25.8" x14ac:dyDescent="0.5">
      <c r="A6" s="10" t="s">
        <v>38</v>
      </c>
      <c r="B6" s="11">
        <f>Valuation!E8</f>
        <v>22773</v>
      </c>
      <c r="C6" s="10" t="s">
        <v>66</v>
      </c>
      <c r="D6" s="25">
        <f>Assumptions!B3</f>
        <v>0.02</v>
      </c>
      <c r="E6" s="10"/>
    </row>
    <row r="7" spans="1:5" ht="25.8" x14ac:dyDescent="0.5">
      <c r="A7" s="10" t="s">
        <v>39</v>
      </c>
      <c r="B7" s="11">
        <f>Valuation!E5</f>
        <v>32813.253615283393</v>
      </c>
      <c r="C7" s="10" t="s">
        <v>5</v>
      </c>
      <c r="D7" s="25">
        <f>Assumptions!B10</f>
        <v>7.4999999999999997E-2</v>
      </c>
      <c r="E7" s="10"/>
    </row>
    <row r="8" spans="1:5" ht="26.4" thickBot="1" x14ac:dyDescent="0.55000000000000004">
      <c r="A8" s="27" t="s">
        <v>3</v>
      </c>
      <c r="B8" s="28">
        <f>Valuation!E7</f>
        <v>3216</v>
      </c>
      <c r="C8" s="10" t="s">
        <v>17</v>
      </c>
      <c r="D8" s="25">
        <f>Assumptions!B19</f>
        <v>0.1</v>
      </c>
      <c r="E8" s="10"/>
    </row>
    <row r="9" spans="1:5" ht="25.8" x14ac:dyDescent="0.5">
      <c r="A9" s="26" t="s">
        <v>40</v>
      </c>
      <c r="B9" s="26">
        <f>Valuation!E6</f>
        <v>10.203126124155284</v>
      </c>
      <c r="C9" s="10" t="s">
        <v>19</v>
      </c>
      <c r="D9" s="25">
        <f>Assumptions!B20</f>
        <v>2.5000000000000001E-2</v>
      </c>
      <c r="E9" s="10"/>
    </row>
    <row r="10" spans="1:5" ht="25.8" x14ac:dyDescent="0.5">
      <c r="A10" s="10"/>
      <c r="B10" s="10"/>
    </row>
    <row r="13" spans="1:5" x14ac:dyDescent="0.3">
      <c r="A13" s="2"/>
    </row>
    <row r="15" spans="1:5" x14ac:dyDescent="0.3">
      <c r="D15" s="1"/>
      <c r="E15" s="1"/>
    </row>
    <row r="16" spans="1:5" x14ac:dyDescent="0.3">
      <c r="D16" s="2"/>
      <c r="E16" s="3"/>
    </row>
    <row r="17" spans="4:5" x14ac:dyDescent="0.3">
      <c r="D17" s="2"/>
      <c r="E17" s="3"/>
    </row>
    <row r="18" spans="4:5" x14ac:dyDescent="0.3">
      <c r="D18" s="2"/>
      <c r="E18" s="3"/>
    </row>
    <row r="19" spans="4:5" x14ac:dyDescent="0.3">
      <c r="D19" s="2"/>
      <c r="E19" s="3"/>
    </row>
    <row r="20" spans="4:5" x14ac:dyDescent="0.3">
      <c r="D20" s="2"/>
      <c r="E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60F6-CC9C-4C5B-A517-D6D88C1D7307}">
  <dimension ref="A1:C20"/>
  <sheetViews>
    <sheetView showGridLines="0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27.6640625" customWidth="1"/>
    <col min="2" max="2" width="10.44140625" customWidth="1"/>
    <col min="3" max="3" width="31.109375" customWidth="1"/>
  </cols>
  <sheetData>
    <row r="1" spans="1:3" x14ac:dyDescent="0.3">
      <c r="A1" s="1" t="s">
        <v>55</v>
      </c>
      <c r="B1" s="1" t="s">
        <v>54</v>
      </c>
      <c r="C1" s="1" t="s">
        <v>53</v>
      </c>
    </row>
    <row r="2" spans="1:3" x14ac:dyDescent="0.3">
      <c r="A2" s="4" t="s">
        <v>57</v>
      </c>
      <c r="B2" s="22"/>
    </row>
    <row r="3" spans="1:3" x14ac:dyDescent="0.3">
      <c r="A3" t="s">
        <v>66</v>
      </c>
      <c r="B3" s="23">
        <v>0.02</v>
      </c>
    </row>
    <row r="4" spans="1:3" x14ac:dyDescent="0.3">
      <c r="A4" t="s">
        <v>67</v>
      </c>
      <c r="B4" s="23">
        <v>2.5000000000000001E-2</v>
      </c>
    </row>
    <row r="5" spans="1:3" x14ac:dyDescent="0.3">
      <c r="A5" t="s">
        <v>68</v>
      </c>
      <c r="B5" s="23">
        <v>0.03</v>
      </c>
      <c r="C5" t="s">
        <v>31</v>
      </c>
    </row>
    <row r="6" spans="1:3" x14ac:dyDescent="0.3">
      <c r="A6" t="s">
        <v>69</v>
      </c>
      <c r="B6" s="23">
        <v>0.03</v>
      </c>
    </row>
    <row r="7" spans="1:3" x14ac:dyDescent="0.3">
      <c r="A7" t="s">
        <v>70</v>
      </c>
      <c r="B7" s="23">
        <v>0.03</v>
      </c>
    </row>
    <row r="8" spans="1:3" x14ac:dyDescent="0.3">
      <c r="B8" s="22"/>
    </row>
    <row r="9" spans="1:3" x14ac:dyDescent="0.3">
      <c r="A9" s="4" t="s">
        <v>58</v>
      </c>
      <c r="B9" s="22"/>
    </row>
    <row r="10" spans="1:3" x14ac:dyDescent="0.3">
      <c r="A10" s="2" t="s">
        <v>5</v>
      </c>
      <c r="B10" s="23">
        <v>7.4999999999999997E-2</v>
      </c>
      <c r="C10" s="2" t="s">
        <v>11</v>
      </c>
    </row>
    <row r="11" spans="1:3" x14ac:dyDescent="0.3">
      <c r="A11" s="2" t="s">
        <v>12</v>
      </c>
      <c r="B11" s="23">
        <v>0.23</v>
      </c>
      <c r="C11" s="2" t="s">
        <v>13</v>
      </c>
    </row>
    <row r="12" spans="1:3" x14ac:dyDescent="0.3">
      <c r="B12" s="22"/>
    </row>
    <row r="13" spans="1:3" x14ac:dyDescent="0.3">
      <c r="A13" s="4" t="s">
        <v>59</v>
      </c>
      <c r="B13" s="22"/>
    </row>
    <row r="14" spans="1:3" x14ac:dyDescent="0.3">
      <c r="A14" s="2" t="s">
        <v>34</v>
      </c>
      <c r="B14" s="23">
        <v>0.05</v>
      </c>
      <c r="C14" s="2" t="s">
        <v>14</v>
      </c>
    </row>
    <row r="15" spans="1:3" x14ac:dyDescent="0.3">
      <c r="A15" s="2" t="s">
        <v>35</v>
      </c>
      <c r="B15" s="23">
        <v>0.1</v>
      </c>
      <c r="C15" s="2" t="s">
        <v>15</v>
      </c>
    </row>
    <row r="16" spans="1:3" ht="28.8" x14ac:dyDescent="0.3">
      <c r="A16" s="2" t="s">
        <v>36</v>
      </c>
      <c r="B16" s="23">
        <v>0.01</v>
      </c>
      <c r="C16" s="2" t="s">
        <v>16</v>
      </c>
    </row>
    <row r="17" spans="1:3" x14ac:dyDescent="0.3">
      <c r="B17" s="22"/>
    </row>
    <row r="18" spans="1:3" ht="28.8" x14ac:dyDescent="0.3">
      <c r="A18" s="14" t="s">
        <v>60</v>
      </c>
      <c r="B18" s="22"/>
    </row>
    <row r="19" spans="1:3" x14ac:dyDescent="0.3">
      <c r="A19" s="2" t="s">
        <v>17</v>
      </c>
      <c r="B19" s="23">
        <v>0.1</v>
      </c>
      <c r="C19" s="2" t="s">
        <v>18</v>
      </c>
    </row>
    <row r="20" spans="1:3" x14ac:dyDescent="0.3">
      <c r="A20" s="2" t="s">
        <v>19</v>
      </c>
      <c r="B20" s="23">
        <v>2.5000000000000001E-2</v>
      </c>
      <c r="C20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20E9-EC72-429B-A8AE-F63DDE6960BA}">
  <dimension ref="A1:B21"/>
  <sheetViews>
    <sheetView showGridLines="0"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22.33203125" customWidth="1"/>
    <col min="2" max="2" width="9.5546875" bestFit="1" customWidth="1"/>
    <col min="7" max="7" width="19.6640625" bestFit="1" customWidth="1"/>
  </cols>
  <sheetData>
    <row r="1" spans="1:2" ht="28.8" x14ac:dyDescent="0.3">
      <c r="A1" s="1" t="s">
        <v>52</v>
      </c>
      <c r="B1" s="1" t="s">
        <v>51</v>
      </c>
    </row>
    <row r="2" spans="1:2" x14ac:dyDescent="0.3">
      <c r="A2" s="2" t="s">
        <v>0</v>
      </c>
      <c r="B2" s="7">
        <v>97690</v>
      </c>
    </row>
    <row r="3" spans="1:2" ht="38.4" customHeight="1" x14ac:dyDescent="0.3">
      <c r="A3" s="2" t="s">
        <v>4</v>
      </c>
      <c r="B3" s="7">
        <v>7076</v>
      </c>
    </row>
    <row r="4" spans="1:2" ht="24" customHeight="1" x14ac:dyDescent="0.3">
      <c r="A4" s="2" t="s">
        <v>5</v>
      </c>
      <c r="B4" s="8">
        <v>7.2400000000000006E-2</v>
      </c>
    </row>
    <row r="5" spans="1:2" ht="40.799999999999997" customHeight="1" x14ac:dyDescent="0.3">
      <c r="A5" s="2" t="s">
        <v>6</v>
      </c>
      <c r="B5" s="7">
        <v>5368</v>
      </c>
    </row>
    <row r="6" spans="1:2" ht="25.2" customHeight="1" x14ac:dyDescent="0.3">
      <c r="A6" s="2" t="s">
        <v>7</v>
      </c>
      <c r="B6" s="7">
        <v>11339</v>
      </c>
    </row>
    <row r="7" spans="1:2" ht="40.200000000000003" customHeight="1" x14ac:dyDescent="0.3">
      <c r="A7" s="2" t="s">
        <v>8</v>
      </c>
      <c r="B7" s="7">
        <v>3584</v>
      </c>
    </row>
    <row r="8" spans="1:2" ht="18.600000000000001" customHeight="1" x14ac:dyDescent="0.3">
      <c r="A8" s="2" t="s">
        <v>9</v>
      </c>
      <c r="B8" s="7">
        <v>36563</v>
      </c>
    </row>
    <row r="9" spans="1:2" ht="19.8" customHeight="1" x14ac:dyDescent="0.3">
      <c r="A9" s="2" t="s">
        <v>2</v>
      </c>
      <c r="B9" s="7">
        <v>13790</v>
      </c>
    </row>
    <row r="10" spans="1:2" ht="20.399999999999999" customHeight="1" x14ac:dyDescent="0.3">
      <c r="A10" s="2" t="s">
        <v>3</v>
      </c>
      <c r="B10" s="7">
        <v>3216</v>
      </c>
    </row>
    <row r="11" spans="1:2" x14ac:dyDescent="0.3">
      <c r="A11" s="2"/>
    </row>
    <row r="12" spans="1:2" x14ac:dyDescent="0.3">
      <c r="A12" t="s">
        <v>43</v>
      </c>
    </row>
    <row r="13" spans="1:2" x14ac:dyDescent="0.3">
      <c r="A13" t="s">
        <v>42</v>
      </c>
      <c r="B13" s="7">
        <v>29094</v>
      </c>
    </row>
    <row r="14" spans="1:2" ht="15" thickBot="1" x14ac:dyDescent="0.35">
      <c r="A14" s="17" t="s">
        <v>44</v>
      </c>
      <c r="B14" s="29">
        <v>7469</v>
      </c>
    </row>
    <row r="15" spans="1:2" x14ac:dyDescent="0.3">
      <c r="A15" s="12" t="s">
        <v>45</v>
      </c>
      <c r="B15" s="13">
        <v>36563</v>
      </c>
    </row>
    <row r="16" spans="1:2" x14ac:dyDescent="0.3">
      <c r="A16" s="12" t="s">
        <v>2</v>
      </c>
      <c r="B16" s="13">
        <v>13790</v>
      </c>
    </row>
    <row r="18" spans="1:2" x14ac:dyDescent="0.3">
      <c r="A18" t="s">
        <v>61</v>
      </c>
      <c r="B18" s="7"/>
    </row>
    <row r="19" spans="1:2" x14ac:dyDescent="0.3">
      <c r="A19" t="s">
        <v>62</v>
      </c>
      <c r="B19" s="7"/>
    </row>
    <row r="20" spans="1:2" x14ac:dyDescent="0.3">
      <c r="B20" s="7"/>
    </row>
    <row r="21" spans="1:2" x14ac:dyDescent="0.3">
      <c r="B2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31DB-E2E8-42A7-A823-445BCEA16ED7}">
  <dimension ref="A1:J7"/>
  <sheetViews>
    <sheetView showGridLines="0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7" max="7" width="13.88671875" customWidth="1"/>
  </cols>
  <sheetData>
    <row r="1" spans="1:10" x14ac:dyDescent="0.3">
      <c r="A1" s="4" t="s">
        <v>10</v>
      </c>
      <c r="B1" s="4" t="s">
        <v>48</v>
      </c>
      <c r="C1" s="4"/>
      <c r="D1" s="4" t="s">
        <v>47</v>
      </c>
      <c r="E1" s="4" t="s">
        <v>1</v>
      </c>
      <c r="F1" s="4" t="s">
        <v>21</v>
      </c>
      <c r="G1" s="4" t="s">
        <v>50</v>
      </c>
      <c r="H1" s="4" t="s">
        <v>49</v>
      </c>
      <c r="I1" s="4" t="s">
        <v>22</v>
      </c>
      <c r="J1" s="4" t="s">
        <v>23</v>
      </c>
    </row>
    <row r="2" spans="1:10" x14ac:dyDescent="0.3">
      <c r="A2">
        <v>2024</v>
      </c>
      <c r="B2" s="6">
        <v>97690</v>
      </c>
      <c r="D2">
        <v>2025</v>
      </c>
      <c r="E2">
        <f>Forecast!B3*Assumptions!B10</f>
        <v>7473.2849999999999</v>
      </c>
      <c r="F2">
        <f>E2*(1-Assumptions!B11)</f>
        <v>5754.4294499999996</v>
      </c>
      <c r="G2">
        <f>Forecast!B3*Assumptions!B14</f>
        <v>4982.1900000000005</v>
      </c>
      <c r="H2">
        <f>Forecast!B3*Assumptions!B15</f>
        <v>9964.380000000001</v>
      </c>
      <c r="I2">
        <f>(Forecast!B3-Forecast!B2)*Assumptions!B16</f>
        <v>19.538000000000029</v>
      </c>
      <c r="J2" s="4">
        <f>Forecast!F2+Forecast!G2-Forecast!H2-Forecast!I2</f>
        <v>752.70144999999911</v>
      </c>
    </row>
    <row r="3" spans="1:10" x14ac:dyDescent="0.3">
      <c r="A3">
        <v>2025</v>
      </c>
      <c r="B3">
        <f>B2*1.02</f>
        <v>99643.8</v>
      </c>
      <c r="D3">
        <v>2026</v>
      </c>
      <c r="E3">
        <f>Forecast!B4*Assumptions!B10</f>
        <v>7660.1171249999989</v>
      </c>
      <c r="F3">
        <f>E3*(1-Assumptions!B11)</f>
        <v>5898.2901862499994</v>
      </c>
      <c r="G3">
        <f>Forecast!B4*Assumptions!B14</f>
        <v>5106.7447499999998</v>
      </c>
      <c r="H3">
        <f>Forecast!B4*Assumptions!B15</f>
        <v>10213.4895</v>
      </c>
      <c r="I3">
        <f>(Forecast!B4-Forecast!B3)*Assumptions!B16</f>
        <v>24.910949999999868</v>
      </c>
      <c r="J3" s="4">
        <f>Forecast!F3+Forecast!G3-Forecast!H3-Forecast!I3</f>
        <v>766.63448624999876</v>
      </c>
    </row>
    <row r="4" spans="1:10" x14ac:dyDescent="0.3">
      <c r="A4">
        <v>2026</v>
      </c>
      <c r="B4">
        <f>B3*1.025</f>
        <v>102134.89499999999</v>
      </c>
      <c r="D4">
        <v>2027</v>
      </c>
      <c r="E4">
        <f>Forecast!B5*Assumptions!B10</f>
        <v>7889.9206387499989</v>
      </c>
      <c r="F4">
        <f>E4*(1-Assumptions!B11)</f>
        <v>6075.2388918374991</v>
      </c>
      <c r="G4">
        <f>Forecast!B5*Assumptions!B14</f>
        <v>5259.9470924999996</v>
      </c>
      <c r="H4">
        <f>Forecast!B5*Assumptions!B15</f>
        <v>10519.894184999999</v>
      </c>
      <c r="I4">
        <f>(Forecast!B5-Forecast!B4)*Assumptions!B16</f>
        <v>30.64046849999999</v>
      </c>
      <c r="J4" s="4">
        <f>Forecast!F4+Forecast!G4-Forecast!H4-Forecast!I4</f>
        <v>784.65133083749947</v>
      </c>
    </row>
    <row r="5" spans="1:10" x14ac:dyDescent="0.3">
      <c r="A5">
        <v>2027</v>
      </c>
      <c r="B5">
        <f>B4*1.03</f>
        <v>105198.94184999999</v>
      </c>
      <c r="D5">
        <v>2028</v>
      </c>
      <c r="E5">
        <f>Forecast!B6*Assumptions!B10</f>
        <v>8126.6182579124988</v>
      </c>
      <c r="F5">
        <f>E5*(1-Assumptions!B11)</f>
        <v>6257.4960585926246</v>
      </c>
      <c r="G5">
        <f>Forecast!B6*Assumptions!B14</f>
        <v>5417.7455052750001</v>
      </c>
      <c r="H5">
        <f>Forecast!B6*Assumptions!B15</f>
        <v>10835.49101055</v>
      </c>
      <c r="I5">
        <f>(Forecast!B6-Forecast!B5)*Assumptions!B16</f>
        <v>31.559682555000037</v>
      </c>
      <c r="J5" s="4">
        <f>Forecast!F5+Forecast!G5-Forecast!H5-Forecast!I5</f>
        <v>808.19087076262451</v>
      </c>
    </row>
    <row r="6" spans="1:10" x14ac:dyDescent="0.3">
      <c r="A6">
        <v>2028</v>
      </c>
      <c r="B6">
        <f>B5*1.03</f>
        <v>108354.91010549999</v>
      </c>
      <c r="D6">
        <v>2029</v>
      </c>
      <c r="E6">
        <f>Forecast!B7*Assumptions!B10</f>
        <v>8370.4168056498747</v>
      </c>
      <c r="F6">
        <f>E6*(1-Assumptions!B11)</f>
        <v>6445.2209403504039</v>
      </c>
      <c r="G6">
        <f>Forecast!B7*Assumptions!B14</f>
        <v>5580.2778704332504</v>
      </c>
      <c r="H6">
        <f>Forecast!B7*Assumptions!B15</f>
        <v>11160.555740866501</v>
      </c>
      <c r="I6">
        <f>(Forecast!B7-Forecast!B6)*Assumptions!B16</f>
        <v>32.506473031650096</v>
      </c>
      <c r="J6" s="4">
        <f>Forecast!F6+Forecast!G6-Forecast!H6-Forecast!I6</f>
        <v>832.43659688550338</v>
      </c>
    </row>
    <row r="7" spans="1:10" x14ac:dyDescent="0.3">
      <c r="A7">
        <v>2029</v>
      </c>
      <c r="B7">
        <f>B6*1.03</f>
        <v>111605.557408665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772E-46D4-464A-86AE-F444A31702B5}">
  <dimension ref="A1:I8"/>
  <sheetViews>
    <sheetView showGridLines="0" workbookViewId="0">
      <pane ySplit="1" topLeftCell="A2" activePane="bottomLeft" state="frozen"/>
      <selection pane="bottomLeft" activeCell="G24" sqref="G24"/>
    </sheetView>
  </sheetViews>
  <sheetFormatPr defaultRowHeight="14.4" x14ac:dyDescent="0.3"/>
  <cols>
    <col min="4" max="4" width="21.77734375" customWidth="1"/>
    <col min="5" max="5" width="15.21875" customWidth="1"/>
    <col min="7" max="7" width="30.109375" customWidth="1"/>
  </cols>
  <sheetData>
    <row r="1" spans="1:9" x14ac:dyDescent="0.3">
      <c r="A1" s="4" t="s">
        <v>24</v>
      </c>
      <c r="B1" s="4" t="s">
        <v>25</v>
      </c>
      <c r="C1" s="4"/>
      <c r="D1" s="4" t="s">
        <v>46</v>
      </c>
      <c r="E1" s="4"/>
      <c r="F1" s="4"/>
      <c r="G1" s="4"/>
      <c r="H1" s="4"/>
      <c r="I1" s="4"/>
    </row>
    <row r="2" spans="1:9" x14ac:dyDescent="0.3">
      <c r="A2">
        <f>1/(1.1^1)</f>
        <v>0.90909090909090906</v>
      </c>
      <c r="B2" s="4">
        <f>A2*Forecast!J2</f>
        <v>684.27404545454465</v>
      </c>
      <c r="D2" t="s">
        <v>26</v>
      </c>
      <c r="E2" s="4">
        <f>(Forecast!J6*(1+ Assumptions!B20))/(Assumptions!B19-Assumptions!B20)</f>
        <v>11376.633490768543</v>
      </c>
    </row>
    <row r="3" spans="1:9" x14ac:dyDescent="0.3">
      <c r="A3">
        <f>1/(1.1^2)</f>
        <v>0.82644628099173545</v>
      </c>
      <c r="B3" s="4">
        <f>A3*Forecast!J3</f>
        <v>633.58222004132119</v>
      </c>
      <c r="D3" t="s">
        <v>27</v>
      </c>
      <c r="E3">
        <f>E2*Valuation!A6</f>
        <v>7063.9943190470958</v>
      </c>
      <c r="H3" s="9"/>
    </row>
    <row r="4" spans="1:9" x14ac:dyDescent="0.3">
      <c r="A4">
        <f>1/(1.1^3)</f>
        <v>0.75131480090157754</v>
      </c>
      <c r="B4" s="4">
        <f>A4*Forecast!J4</f>
        <v>589.52015840533375</v>
      </c>
      <c r="D4" t="s">
        <v>28</v>
      </c>
      <c r="E4" s="4">
        <f>Valuation!E3+(Valuation!B2+Valuation!B3+Valuation!B4+Valuation!B5+Valuation!B6)</f>
        <v>10040.253615283389</v>
      </c>
      <c r="G4" s="12"/>
      <c r="H4" s="15"/>
    </row>
    <row r="5" spans="1:9" ht="15" thickBot="1" x14ac:dyDescent="0.35">
      <c r="A5">
        <f>1/(1.1^4)</f>
        <v>0.68301345536507052</v>
      </c>
      <c r="B5" s="4">
        <f>A5*Forecast!J5</f>
        <v>552.00523923408537</v>
      </c>
      <c r="D5" s="17" t="s">
        <v>29</v>
      </c>
      <c r="E5" s="18">
        <f>E4-(Historical_Financials!B9-Historical_Financials!B8)</f>
        <v>32813.253615283393</v>
      </c>
      <c r="G5" s="12"/>
      <c r="H5" s="16"/>
    </row>
    <row r="6" spans="1:9" ht="15" thickBot="1" x14ac:dyDescent="0.35">
      <c r="A6">
        <f>1/(1.1^5)</f>
        <v>0.62092132305915493</v>
      </c>
      <c r="B6" s="4">
        <f>A6*Forecast!J6</f>
        <v>516.87763310100718</v>
      </c>
      <c r="D6" s="19" t="s">
        <v>30</v>
      </c>
      <c r="E6" s="20">
        <f>Valuation!E5/Historical_Financials!B10</f>
        <v>10.203126124155284</v>
      </c>
    </row>
    <row r="7" spans="1:9" x14ac:dyDescent="0.3">
      <c r="D7" t="s">
        <v>41</v>
      </c>
      <c r="E7" s="9">
        <f>Historical_Financials!B10</f>
        <v>3216</v>
      </c>
    </row>
    <row r="8" spans="1:9" x14ac:dyDescent="0.3">
      <c r="D8" t="s">
        <v>56</v>
      </c>
      <c r="E8" s="9">
        <f>Historical_Financials!B8-Historical_Financials!B9</f>
        <v>22773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Tesla DCF Model</vt:lpstr>
      <vt:lpstr>Assumptions</vt:lpstr>
      <vt:lpstr>Historical_Financials</vt:lpstr>
      <vt:lpstr>Forecast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Maximus Wilson</dc:creator>
  <cp:lastModifiedBy>Maximus Wilson</cp:lastModifiedBy>
  <dcterms:created xsi:type="dcterms:W3CDTF">2026-01-01T23:19:24Z</dcterms:created>
  <dcterms:modified xsi:type="dcterms:W3CDTF">2026-01-02T18:21:12Z</dcterms:modified>
</cp:coreProperties>
</file>